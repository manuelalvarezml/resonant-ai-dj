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a7d2d4c55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55494837a7e0415b"/>
    <x:sheet xmlns:r="http://schemas.openxmlformats.org/officeDocument/2006/relationships" name="Inputs" sheetId="2" r:id="R86cead9e42624622"/>
    <x:sheet xmlns:r="http://schemas.openxmlformats.org/officeDocument/2006/relationships" name="Sources" sheetId="3" r:id="Rb14f127f5aac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.00;(#,##0.00);&quot;-&quot;"/>
    <x:numFmt numFmtId="202" formatCode="0.0%;(0.0%);&quot;-&quot;"/>
    <x:numFmt numFmtId="203" formatCode="0.00000"/>
  </x:numFmts>
  <x:fonts count="10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22222"/>
      <x:name val="Arial"/>
    </x:font>
    <x:font>
      <x:sz val="14"/>
      <x:color rgb="FF222222"/>
      <x:name val="Arial"/>
    </x:font>
    <x:font>
      <x:b/>
      <x:sz val="10"/>
      <x:color rgb="FF222222"/>
      <x:name val="Arial"/>
    </x:font>
    <x:font>
      <x:sz val="10"/>
      <x:color rgb="FF0000FF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333333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8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1e6324b754928" /><Relationship Type="http://schemas.openxmlformats.org/officeDocument/2006/relationships/theme" Target="/xl/theme/theme1.xml" Id="R8c0bb7c186c34bc7" /><Relationship Type="http://schemas.openxmlformats.org/officeDocument/2006/relationships/sharedStrings" Target="/xl/sharedStrings.xml" Id="Rcbafb541242747ae" /><Relationship Type="http://schemas.openxmlformats.org/officeDocument/2006/relationships/worksheet" Target="/xl/worksheets/sheet1.xml" Id="R55494837a7e0415b" /><Relationship Type="http://schemas.openxmlformats.org/officeDocument/2006/relationships/worksheet" Target="/xl/worksheets/sheet2.xml" Id="R86cead9e42624622" /><Relationship Type="http://schemas.openxmlformats.org/officeDocument/2006/relationships/worksheet" Target="/xl/worksheets/sheet3.xml" Id="Rb14f127f5aac46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2" hidden="0" customWidth="1"/>
    <x:col min="3" max="3" width="22" hidden="0" customWidth="1"/>
    <x:col min="4" max="4" width="37" hidden="0" customWidth="1"/>
    <x:col min="5" max="5" width="3" hidden="0" customWidth="1"/>
  </x:cols>
  <x:sheetData>
    <x:row r="1" ht="21" customHeight="1">
      <x:c r="A1" s="4"/>
      <x:c r="B1" s="4"/>
      <x:c r="C1" s="4"/>
      <x:c r="D1" s="4"/>
      <x:c r="E1" s="4"/>
    </x:row>
    <x:row r="2" ht="21" customHeight="1">
      <x:c r="A2" s="5" t="str">
        <x:v>Cloud library monthly economics</x:v>
      </x:c>
      <x:c r="B2" s="4"/>
      <x:c r="C2" s="4"/>
      <x:c r="D2" s="4"/>
      <x:c r="E2" s="4"/>
    </x:row>
    <x:row r="3" ht="21" customHeight="1">
      <x:c r="A3" s="4"/>
      <x:c r="B3" s="4"/>
      <x:c r="C3" s="4"/>
      <x:c r="D3" s="4"/>
      <x:c r="E3" s="4"/>
    </x:row>
    <x:row r="4" ht="21" customHeight="1">
      <x:c r="A4" s="4" t="str">
        <x:v>Case selected</x:v>
      </x:c>
      <x:c r="B4" s="13" t="str">
        <x:f>'Inputs'!C4</x:f>
        <x:v>Medium library</x:v>
      </x:c>
      <x:c r="C4" s="4"/>
      <x:c r="D4" s="4"/>
      <x:c r="E4" s="4"/>
    </x:row>
    <x:row r="5" ht="21" customHeight="1">
      <x:c r="A5" s="4" t="str">
        <x:v>USD scenarios. Unmeasured operating inputs.</x:v>
      </x:c>
      <x:c r="B5" s="4"/>
      <x:c r="C5" s="4"/>
      <x:c r="D5" s="4"/>
      <x:c r="E5" s="4"/>
    </x:row>
    <x:row r="6" ht="21" customHeight="1">
      <x:c r="A6" s="4"/>
      <x:c r="B6" s="4"/>
      <x:c r="C6" s="4"/>
      <x:c r="D6" s="4"/>
      <x:c r="E6" s="4"/>
    </x:row>
    <x:row r="7" ht="21" customHeight="1">
      <x:c r="A7" s="11" t="str">
        <x:v>Workload</x:v>
      </x:c>
      <x:c r="B7" s="11" t="str">
        <x:v>Value</x:v>
      </x:c>
      <x:c r="C7" s="11" t="str">
        <x:v>Unit</x:v>
      </x:c>
      <x:c r="D7" s="4"/>
      <x:c r="E7" s="4"/>
    </x:row>
    <x:row r="8" ht="21" customHeight="1">
      <x:c r="A8" s="4" t="str">
        <x:v>Paying users</x:v>
      </x:c>
      <x:c r="B8" s="14" t="n">
        <x:f>'Inputs'!B7</x:f>
        <x:v>100</x:v>
      </x:c>
      <x:c r="C8" s="4" t="str">
        <x:v>users</x:v>
      </x:c>
      <x:c r="D8" s="4"/>
      <x:c r="E8" s="4"/>
    </x:row>
    <x:row r="9" ht="21" customHeight="1">
      <x:c r="A9" s="4" t="str">
        <x:v>Original stored bytes</x:v>
      </x:c>
      <x:c r="B9" s="14" t="n">
        <x:f>'Inputs'!B7*'Inputs'!B11</x:f>
        <x:v>10000</x:v>
      </x:c>
      <x:c r="C9" s="4" t="str">
        <x:v>decimal GB</x:v>
      </x:c>
      <x:c r="D9" s="4"/>
      <x:c r="E9" s="4"/>
    </x:row>
    <x:row r="10" ht="21" customHeight="1">
      <x:c r="A10" s="4" t="str">
        <x:v>Derivatives and retained mixes</x:v>
      </x:c>
      <x:c r="B10" s="14" t="n">
        <x:f>B9*'Inputs'!B41+B8*'Inputs'!B23*('Inputs'!B44+'Inputs'!B87)</x:f>
        <x:v>2472.3199999999997</x:v>
      </x:c>
      <x:c r="C10" s="4" t="str">
        <x:v>decimal GB</x:v>
      </x:c>
      <x:c r="D10" s="4"/>
      <x:c r="E10" s="4"/>
    </x:row>
    <x:row r="11" ht="21" customHeight="1">
      <x:c r="A11" s="17" t="str">
        <x:v>Total primary average storage</x:v>
      </x:c>
      <x:c r="B11" s="18" t="n">
        <x:f>SUM(B9:B10)</x:f>
        <x:v>12472.32</x:v>
      </x:c>
      <x:c r="C11" s="17" t="str">
        <x:v>decimal GB</x:v>
      </x:c>
      <x:c r="D11" s="4"/>
      <x:c r="E11" s="4"/>
    </x:row>
    <x:row r="12" ht="21" customHeight="1">
      <x:c r="A12" s="4" t="str">
        <x:v>Playback delivery</x:v>
      </x:c>
      <x:c r="B12" s="14" t="n">
        <x:f>B8*'Inputs'!B19*'Inputs'!B43</x:f>
        <x:v>720</x:v>
      </x:c>
      <x:c r="C12" s="4" t="str">
        <x:v>GB/month</x:v>
      </x:c>
      <x:c r="D12" s="4"/>
      <x:c r="E12" s="4"/>
    </x:row>
    <x:row r="13" ht="21" customHeight="1">
      <x:c r="A13" s="4" t="str">
        <x:v>Mix downloads</x:v>
      </x:c>
      <x:c r="B13" s="14" t="n">
        <x:f>B8*'Inputs'!B23*'Inputs'!B44</x:f>
        <x:v>57.599999999999994</x:v>
      </x:c>
      <x:c r="C13" s="4" t="str">
        <x:v>GB/month</x:v>
      </x:c>
      <x:c r="D13" s="4"/>
      <x:c r="E13" s="4"/>
    </x:row>
    <x:row r="14" ht="21" customHeight="1">
      <x:c r="A14" s="4" t="str">
        <x:v>Worker reads and original exports</x:v>
      </x:c>
      <x:c r="B14" s="14" t="n">
        <x:f>B9*('Inputs'!B45+'Inputs'!B46)</x:f>
        <x:v>1500.0000000000002</x:v>
      </x:c>
      <x:c r="C14" s="4" t="str">
        <x:v>GB/month</x:v>
      </x:c>
      <x:c r="D14" s="4"/>
      <x:c r="E14" s="4"/>
    </x:row>
    <x:row r="15" ht="21" customHeight="1">
      <x:c r="A15" s="17" t="str">
        <x:v>Total origin outbound</x:v>
      </x:c>
      <x:c r="B15" s="18" t="n">
        <x:f>SUM(B12:B14)</x:f>
        <x:v>2277.6000000000004</x:v>
      </x:c>
      <x:c r="C15" s="17" t="str">
        <x:v>GB/month</x:v>
      </x:c>
      <x:c r="D15" s="4"/>
      <x:c r="E15" s="4"/>
    </x:row>
    <x:row r="16" ht="21" customHeight="1">
      <x:c r="A16" s="4" t="str">
        <x:v>First upload duration per user</x:v>
      </x:c>
      <x:c r="B16" s="14" t="n">
        <x:f>'Inputs'!B11*8000/('Inputs'!B35*'Inputs'!B65*3600)</x:f>
        <x:v>15.873015873015873</x:v>
      </x:c>
      <x:c r="C16" s="4" t="str">
        <x:v>hours</x:v>
      </x:c>
      <x:c r="D16" s="4"/>
      <x:c r="E16" s="4"/>
    </x:row>
    <x:row r="17" ht="21" customHeight="1">
      <x:c r="A17" s="4"/>
      <x:c r="B17" s="14"/>
      <x:c r="C17" s="4"/>
      <x:c r="D17" s="4"/>
      <x:c r="E17" s="4"/>
    </x:row>
    <x:row r="18" ht="21" customHeight="1">
      <x:c r="A18" s="11" t="str">
        <x:v>Provider alternative</x:v>
      </x:c>
      <x:c r="B18" s="15" t="str">
        <x:v>Monthly USD</x:v>
      </x:c>
      <x:c r="C18" s="11" t="str">
        <x:v>Estimate type</x:v>
      </x:c>
      <x:c r="D18" s="11" t="str">
        <x:v>Caveat</x:v>
      </x:c>
      <x:c r="E18" s="4"/>
    </x:row>
    <x:row r="19" ht="21" customHeight="1">
      <x:c r="A19" s="4" t="str">
        <x:v>R2 Standard</x:v>
      </x:c>
      <x:c r="B19" s="14" t="n">
        <x:f>B11*'Inputs'!B69+B8*('Inputs'!B66*'Inputs'!B70+'Inputs'!B67*'Inputs'!B71)/1000000</x:f>
        <x:v>187.6698</x:v>
      </x:c>
      <x:c r="C19" s="4" t="str">
        <x:v>Marginal estimate</x:v>
      </x:c>
      <x:c r="D19" s="4" t="str">
        <x:v>No free tier / rounding</x:v>
      </x:c>
      <x:c r="E19" s="4"/>
    </x:row>
    <x:row r="20" ht="21" customHeight="1">
      <x:c r="A20" s="4" t="str">
        <x:v>B2 pay-go</x:v>
      </x:c>
      <x:c r="B20" s="14" t="n">
        <x:f>B11*'Inputs'!B72+MAX(B15-B11*'Inputs'!B73,0)*'Inputs'!B74</x:f>
        <x:v>86.68262399999999</x:v>
      </x:c>
      <x:c r="C20" s="4" t="str">
        <x:v>Marginal estimate</x:v>
      </x:c>
      <x:c r="D20" s="4" t="str">
        <x:v>No free tier / event fees</x:v>
      </x:c>
      <x:c r="E20" s="4"/>
    </x:row>
    <x:row r="21" ht="21" customHeight="1">
      <x:c r="A21" s="4" t="str">
        <x:v>Spaces Standard</x:v>
      </x:c>
      <x:c r="B21" s="14" t="n">
        <x:f>'Inputs'!B75+MAX(B11/1.073741824-'Inputs'!B76,0)*'Inputs'!B78+MAX(B15/1.073741824-'Inputs'!B77,0)*'Inputs'!B79</x:f>
        <x:v>243.2868664360046</x:v>
      </x:c>
      <x:c r="C21" s="4" t="str">
        <x:v>Bundle estimate</x:v>
      </x:c>
      <x:c r="D21" s="4" t="str">
        <x:v>Account bundle used once</x:v>
      </x:c>
      <x:c r="E21" s="4"/>
    </x:row>
    <x:row r="22" ht="21" customHeight="1">
      <x:c r="A22" s="4" t="str">
        <x:v>Supabase Pro Storage</x:v>
      </x:c>
      <x:c r="B22" s="14" t="n">
        <x:f>'Inputs'!B80+MAX(B11-'Inputs'!B81,0)*'Inputs'!B82+MAX(B15*'Inputs'!B68-'Inputs'!B83,0)*'Inputs'!B84+MAX(B15*(1-'Inputs'!B68)-'Inputs'!B83,0)*'Inputs'!B85</x:f>
        <x:v>395.186416</x:v>
      </x:c>
      <x:c r="C22" s="4" t="str">
        <x:v>Bundle estimate</x:v>
      </x:c>
      <x:c r="D22" s="4" t="str">
        <x:v>Other project charges excluded</x:v>
      </x:c>
      <x:c r="E22" s="4"/>
    </x:row>
    <x:row r="23" ht="21" customHeight="1">
      <x:c r="A23" s="4" t="str">
        <x:v>Wasabi pay-go</x:v>
      </x:c>
      <x:c r="B23" s="14" t="n">
        <x:f>MAX(B11/1099.511627776,1)*'Inputs'!B86</x:f>
        <x:v>90.63463658094405</x:v>
      </x:c>
      <x:c r="C23" s="4" t="str">
        <x:v>Storage base only</x:v>
      </x:c>
      <x:c r="D23" s="4" t="str">
        <x:v>No early-delete charges</x:v>
      </x:c>
      <x:c r="E23" s="4"/>
    </x:row>
    <x:row r="24" ht="21" customHeight="1">
      <x:c r="A24" s="4" t="str">
        <x:v>AWS S3 Standard</x:v>
      </x:c>
      <x:c r="B24" s="14" t="str">
        <x:v>n.a.</x:v>
      </x:c>
      <x:c r="C24" s="4" t="str">
        <x:v>Quote needed</x:v>
      </x:c>
      <x:c r="D24" s="4" t="str">
        <x:v>Region unresolved</x:v>
      </x:c>
      <x:c r="E24" s="4"/>
    </x:row>
    <x:row r="25" ht="21" customHeight="1">
      <x:c r="A25" s="4"/>
      <x:c r="B25" s="14"/>
      <x:c r="C25" s="4"/>
      <x:c r="D25" s="4"/>
      <x:c r="E25" s="4"/>
    </x:row>
    <x:row r="26" ht="21" customHeight="1">
      <x:c r="A26" s="4" t="str">
        <x:v>Wasabi recurring egress fit</x:v>
      </x:c>
      <x:c r="B26" s="14" t="str">
        <x:f>IF(B15&gt;B11,"Outside policy fit","Within volume guide")</x:f>
        <x:v>Within volume guide</x:v>
      </x:c>
      <x:c r="C26" s="4"/>
      <x:c r="D26" s="4"/>
      <x:c r="E26" s="4"/>
    </x:row>
    <x:row r="27" ht="21" customHeight="1">
      <x:c r="A27" s="4"/>
      <x:c r="B27" s="14"/>
      <x:c r="C27" s="4"/>
      <x:c r="D27" s="4"/>
      <x:c r="E27" s="4"/>
    </x:row>
    <x:row r="28" ht="21" customHeight="1">
      <x:c r="A28" s="11" t="str">
        <x:v>Service scenario using B2</x:v>
      </x:c>
      <x:c r="B28" s="15" t="str">
        <x:v>Monthly USD</x:v>
      </x:c>
      <x:c r="C28" s="11" t="str">
        <x:v>Basis</x:v>
      </x:c>
      <x:c r="D28" s="4"/>
      <x:c r="E28" s="4"/>
    </x:row>
    <x:row r="29" ht="21" customHeight="1">
      <x:c r="A29" s="4" t="str">
        <x:v>Primary storage and origin delivery</x:v>
      </x:c>
      <x:c r="B29" s="14" t="n">
        <x:f>B20</x:f>
        <x:v>86.68262399999999</x:v>
      </x:c>
      <x:c r="C29" s="4" t="str">
        <x:v>Provider estimate above</x:v>
      </x:c>
      <x:c r="D29" s="4"/>
      <x:c r="E29" s="4"/>
    </x:row>
    <x:row r="30" ht="21" customHeight="1">
      <x:c r="A30" s="4" t="str">
        <x:v>Backup original copy</x:v>
      </x:c>
      <x:c r="B30" s="14" t="n">
        <x:f>B9*'Inputs'!B42*'Inputs'!B72</x:f>
        <x:v>69.5</x:v>
      </x:c>
      <x:c r="C30" s="4" t="str">
        <x:v>One retained copy</x:v>
      </x:c>
      <x:c r="D30" s="4"/>
      <x:c r="E30" s="4"/>
    </x:row>
    <x:row r="31" ht="21" customHeight="1">
      <x:c r="A31" s="4" t="str">
        <x:v>New-track analysis</x:v>
      </x:c>
      <x:c r="B31" s="14" t="n">
        <x:f>B8*'Inputs'!B27*'Inputs'!B47/60*'Inputs'!B49*'Inputs'!B50</x:f>
        <x:v>239.58333333333331</x:v>
      </x:c>
      <x:c r="C31" s="4" t="str">
        <x:v>Unmeasured runtime</x:v>
      </x:c>
      <x:c r="D31" s="4"/>
      <x:c r="E31" s="4"/>
    </x:row>
    <x:row r="32" ht="21" customHeight="1">
      <x:c r="A32" s="4" t="str">
        <x:v>Mix rendering</x:v>
      </x:c>
      <x:c r="B32" s="14" t="n">
        <x:f>B8*'Inputs'!B23*'Inputs'!B48/60*'Inputs'!B49*'Inputs'!B50</x:f>
        <x:v>57.49999999999999</x:v>
      </x:c>
      <x:c r="C32" s="4" t="str">
        <x:v>Unmeasured runtime</x:v>
      </x:c>
      <x:c r="D32" s="4"/>
      <x:c r="E32" s="4"/>
    </x:row>
    <x:row r="33" ht="21" customHeight="1">
      <x:c r="A33" s="4" t="str">
        <x:v>Worker outbound writes</x:v>
      </x:c>
      <x:c r="B33" s="14" t="n">
        <x:f>B8*('Inputs'!B27*('Inputs'!B11/'Inputs'!B15)*'Inputs'!B41+'Inputs'!B23*('Inputs'!B44+'Inputs'!B87))*'Inputs'!B51</x:f>
        <x:v>44.758799999999994</x:v>
      </x:c>
      <x:c r="C33" s="4" t="str">
        <x:v>Separate cloud transfer</x:v>
      </x:c>
      <x:c r="D33" s="4"/>
      <x:c r="E33" s="4"/>
    </x:row>
    <x:row r="34" ht="21" customHeight="1">
      <x:c r="A34" s="4" t="str">
        <x:v>Language model requests</x:v>
      </x:c>
      <x:c r="B34" s="14" t="n">
        <x:f>B8*'Inputs'!B55*('Inputs'!B56*'Inputs'!B58+'Inputs'!B57*'Inputs'!B59)/1000000</x:f>
        <x:v>14.25</x:v>
      </x:c>
      <x:c r="C34" s="4" t="str">
        <x:v>Token scenario</x:v>
      </x:c>
      <x:c r="D34" s="4"/>
      <x:c r="E34" s="4"/>
    </x:row>
    <x:row r="35" ht="21" customHeight="1">
      <x:c r="A35" s="4" t="str">
        <x:v>Support</x:v>
      </x:c>
      <x:c r="B35" s="14" t="n">
        <x:f>B8*'Inputs'!B53/60*'Inputs'!B54</x:f>
        <x:v>333.33333333333337</x:v>
      </x:c>
      <x:c r="C35" s="4" t="str">
        <x:v>Unmeasured workload</x:v>
      </x:c>
      <x:c r="D35" s="4"/>
      <x:c r="E35" s="4"/>
    </x:row>
    <x:row r="36" ht="21" customHeight="1">
      <x:c r="A36" s="4" t="str">
        <x:v>Variable subtotal</x:v>
      </x:c>
      <x:c r="B36" s="14" t="n">
        <x:f>SUM(B29:B35)</x:f>
        <x:v>845.6080906666667</x:v>
      </x:c>
      <x:c r="C36" s="4" t="str"/>
      <x:c r="D36" s="4"/>
      <x:c r="E36" s="4"/>
    </x:row>
    <x:row r="37" ht="21" customHeight="1">
      <x:c r="A37" s="4" t="str">
        <x:v>Contingency</x:v>
      </x:c>
      <x:c r="B37" s="14" t="n">
        <x:f>B36*'Inputs'!B62</x:f>
        <x:v>169.12161813333336</x:v>
      </x:c>
      <x:c r="C37" s="4" t="str">
        <x:v>Editable risk allowance</x:v>
      </x:c>
      <x:c r="D37" s="4"/>
      <x:c r="E37" s="4"/>
    </x:row>
    <x:row r="38" ht="21" customHeight="1">
      <x:c r="A38" s="4" t="str">
        <x:v>Fixed operations</x:v>
      </x:c>
      <x:c r="B38" s="14" t="n">
        <x:f>'Inputs'!B52</x:f>
        <x:v>100</x:v>
      </x:c>
      <x:c r="C38" s="4" t="str">
        <x:v>Unquoted allowance</x:v>
      </x:c>
      <x:c r="D38" s="4"/>
      <x:c r="E38" s="4"/>
    </x:row>
    <x:row r="39" ht="21" customHeight="1">
      <x:c r="A39" s="17" t="str">
        <x:v>Recurring cost before payments</x:v>
      </x:c>
      <x:c r="B39" s="18" t="n">
        <x:f>SUM(B36:B38)</x:f>
        <x:v>1114.7297088</x:v>
      </x:c>
      <x:c r="C39" s="17" t="str">
        <x:v>Excludes legal/license/tax</x:v>
      </x:c>
      <x:c r="D39" s="4"/>
      <x:c r="E39" s="4"/>
    </x:row>
    <x:row r="40" ht="21" customHeight="1">
      <x:c r="A40" s="4" t="str">
        <x:v>Gross subscription revenue</x:v>
      </x:c>
      <x:c r="B40" s="14" t="n">
        <x:f>B8*'Inputs'!B31</x:f>
        <x:v>1900</x:v>
      </x:c>
      <x:c r="C40" s="4" t="str">
        <x:v>Hypothetical price</x:v>
      </x:c>
      <x:c r="D40" s="4"/>
      <x:c r="E40" s="4"/>
    </x:row>
    <x:row r="41" ht="21" customHeight="1">
      <x:c r="A41" s="4" t="str">
        <x:v>Payment expense</x:v>
      </x:c>
      <x:c r="B41" s="14" t="n">
        <x:f>B40*'Inputs'!B60+B8*'Inputs'!B61</x:f>
        <x:v>96.5</x:v>
      </x:c>
      <x:c r="C41" s="4" t="str">
        <x:v>Unquoted merchant rate</x:v>
      </x:c>
      <x:c r="D41" s="4"/>
      <x:c r="E41" s="4"/>
    </x:row>
    <x:row r="42" ht="21" customHeight="1">
      <x:c r="A42" s="17" t="str">
        <x:v>Recurring contribution</x:v>
      </x:c>
      <x:c r="B42" s="18" t="n">
        <x:f>B40-B39-B41</x:f>
        <x:v>688.7702912</x:v>
      </x:c>
      <x:c r="C42" s="17" t="str">
        <x:v>Before acquisition/setup</x:v>
      </x:c>
      <x:c r="D42" s="4"/>
      <x:c r="E42" s="4"/>
    </x:row>
    <x:row r="43" ht="21" customHeight="1">
      <x:c r="A43" s="17" t="str">
        <x:v>Recurring contribution margin</x:v>
      </x:c>
      <x:c r="B43" s="19" t="n">
        <x:f>IF(B40=0,"n.a.",B42/B40)</x:f>
        <x:v>0.36251067957894734</x:v>
      </x:c>
      <x:c r="C43" s="17" t="str">
        <x:v>Not validated</x:v>
      </x:c>
      <x:c r="D43" s="4"/>
      <x:c r="E43" s="4"/>
    </x:row>
    <x:row r="44" ht="21" customHeight="1">
      <x:c r="A44" s="4"/>
      <x:c r="B44" s="14"/>
      <x:c r="C44" s="4"/>
      <x:c r="D44" s="4"/>
      <x:c r="E44" s="4"/>
    </x:row>
    <x:row r="45" ht="21" customHeight="1">
      <x:c r="A45" s="4" t="str">
        <x:v>Initial analysis cash cost</x:v>
      </x:c>
      <x:c r="B45" s="14" t="n">
        <x:f>B8*'Inputs'!B15*'Inputs'!B47/60*'Inputs'!B49*'Inputs'!B50</x:f>
        <x:v>19166.666666666668</x:v>
      </x:c>
      <x:c r="C45" s="4" t="str">
        <x:v>One time, not monthly</x:v>
      </x:c>
      <x:c r="D45" s="4"/>
      <x:c r="E45" s="4"/>
    </x:row>
    <x:row r="46" ht="21" customHeight="1">
      <x:c r="A46" s="4" t="str">
        <x:v>Acquisition cash cost</x:v>
      </x:c>
      <x:c r="B46" s="14" t="n">
        <x:f>B8*'Inputs'!B64</x:f>
        <x:v>2000</x:v>
      </x:c>
      <x:c r="C46" s="4" t="str">
        <x:v>One time, unmeasured</x:v>
      </x:c>
      <x:c r="D46" s="4"/>
      <x:c r="E46" s="4"/>
    </x:row>
    <x:row r="47" ht="21" customHeight="1">
      <x:c r="A47" s="4" t="str">
        <x:v>Monthly acquisition/setup allocation</x:v>
      </x:c>
      <x:c r="B47" s="14" t="n">
        <x:f>SUM(B45:B46)/'Inputs'!B63</x:f>
        <x:v>1763.888888888889</x:v>
      </x:c>
      <x:c r="C47" s="4" t="str">
        <x:v>Amortization assumption</x:v>
      </x:c>
      <x:c r="D47" s="4"/>
      <x:c r="E47" s="4"/>
    </x:row>
    <x:row r="48" ht="21" customHeight="1">
      <x:c r="A48" s="17" t="str">
        <x:v>Contribution after allocation</x:v>
      </x:c>
      <x:c r="B48" s="18" t="n">
        <x:f>B42-B47</x:f>
        <x:v>-1075.118597688889</x:v>
      </x:c>
      <x:c r="C48" s="17" t="str">
        <x:v>Not accounting profit</x:v>
      </x:c>
      <x:c r="D48" s="4"/>
      <x:c r="E48" s="4"/>
    </x:row>
    <x:row r="49" ht="21" customHeight="1">
      <x:c r="A49" s="4" t="str">
        <x:v>Monthly per-user cost with allocation</x:v>
      </x:c>
      <x:c r="B49" s="14" t="n">
        <x:f>IF(B8=0,"n.a.",(B39+B41+B47)/B8)</x:f>
        <x:v>29.75118597688889</x:v>
      </x:c>
      <x:c r="C49" s="4" t="str">
        <x:v>Scenario only</x:v>
      </x:c>
      <x:c r="D49" s="4"/>
      <x:c r="E49" s="4"/>
    </x:row>
    <x:row r="50" ht="21" customHeight="1">
      <x:c r="A50" s="17" t="str">
        <x:v>Upfront acquisition + initial analysis</x:v>
      </x:c>
      <x:c r="B50" s="18" t="n">
        <x:f>SUM(B45:B46)</x:f>
        <x:v>21166.666666666668</x:v>
      </x:c>
      <x:c r="C50" s="17" t="str">
        <x:v>Cash requirement</x:v>
      </x:c>
      <x:c r="D50" s="4"/>
      <x:c r="E50" s="4"/>
    </x:row>
    <x:row r="51" ht="21" customHeight="1">
      <x:c r="A51" s="4"/>
      <x:c r="B51" s="4"/>
      <x:c r="C51" s="4"/>
      <x:c r="D51" s="4"/>
      <x:c r="E51" s="4"/>
    </x:row>
    <x:row r="52" ht="21" customHeight="1">
      <x:c r="A52" s="4"/>
      <x:c r="B52" s="4"/>
      <x:c r="C52" s="4"/>
      <x:c r="D52" s="4"/>
      <x:c r="E52" s="4"/>
    </x:row>
    <x:row r="53" ht="21" customHeight="1">
      <x:c r="A53" s="4" t="str">
        <x:v>Excluded: licenses, tax, legal/security, maintenance.</x:v>
      </x:c>
      <x:c r="B53" s="4"/>
      <x:c r="C53" s="4"/>
      <x:c r="D53" s="4"/>
      <x:c r="E53" s="4"/>
    </x:row>
    <x:row r="54" ht="21" customHeight="1">
      <x:c r="A54" s="4" t="str">
        <x:v>Initial full-library analysis is an optional future feature.</x:v>
      </x:c>
      <x:c r="B54" s="4"/>
      <x:c r="C54" s="4"/>
      <x:c r="D54" s="4"/>
      <x:c r="E54" s="4"/>
    </x:row>
    <x:row r="55" ht="21" customHeight="1">
      <x:c r="A55" s="4" t="str">
        <x:v>Edit Inputs; reconcile accepted changes to inputs.json.</x:v>
      </x:c>
      <x:c r="B55" s="4"/>
      <x:c r="C55" s="4"/>
      <x:c r="D55" s="4"/>
      <x:c r="E55" s="4"/>
    </x:row>
    <x:row r="56" ht="21" customHeight="1">
      <x:c r="A56" s="4" t="str">
        <x:v>Free users, churn and backfills need separate forecasts.</x:v>
      </x:c>
      <x:c r="B56" s="4"/>
      <x:c r="C56" s="4"/>
      <x:c r="D56" s="4"/>
      <x:c r="E56" s="4"/>
    </x:row>
    <x:row r="57" ht="21" customHeight="1">
      <x:c r="A57" s="4"/>
      <x:c r="B57" s="4"/>
      <x:c r="C57" s="4"/>
      <x:c r="D57" s="4"/>
      <x:c r="E57" s="4"/>
    </x:row>
    <x:row r="58" ht="21" customHeight="1">
      <x:c r="A58" s="4"/>
      <x:c r="B58" s="4"/>
      <x:c r="C58" s="4"/>
      <x:c r="D58" s="4"/>
      <x:c r="E58" s="4"/>
    </x:row>
    <x:row r="59" ht="21" customHeight="1">
      <x:c r="A59" s="4"/>
      <x:c r="B59" s="4"/>
      <x:c r="C59" s="4"/>
      <x:c r="D59" s="4"/>
      <x:c r="E59" s="4"/>
    </x:row>
    <x:row r="60" ht="21" customHeight="1">
      <x:c r="A60" s="4"/>
      <x:c r="B60" s="4"/>
      <x:c r="C60" s="4"/>
      <x:c r="D60" s="4"/>
      <x:c r="E60" s="4"/>
    </x:row>
    <x:row r="61" ht="21" customHeight="1">
      <x:c r="A61" s="4"/>
      <x:c r="B61" s="4"/>
      <x:c r="C61" s="4"/>
      <x:c r="D61" s="4"/>
      <x:c r="E61" s="4"/>
    </x:row>
    <x:row r="62" ht="21" customHeight="1">
      <x:c r="A62" s="4"/>
      <x:c r="B62" s="4"/>
      <x:c r="C62" s="4"/>
      <x:c r="D62" s="4"/>
      <x:c r="E62" s="4"/>
    </x:row>
    <x:row r="63" ht="21" customHeight="1">
      <x:c r="A63" s="4"/>
      <x:c r="B63" s="4"/>
      <x:c r="C63" s="4"/>
      <x:c r="D63" s="4"/>
      <x:c r="E63" s="4"/>
    </x:row>
    <x:row r="64" ht="21" customHeight="1">
      <x:c r="A64" s="4"/>
      <x:c r="B64" s="4"/>
      <x:c r="C64" s="4"/>
      <x:c r="D64" s="4"/>
      <x:c r="E64" s="4"/>
    </x:row>
    <x:row r="65" ht="21" customHeight="1">
      <x:c r="A65" s="4"/>
      <x:c r="B65" s="4"/>
      <x:c r="C65" s="4"/>
      <x:c r="D65" s="4"/>
      <x:c r="E65" s="4"/>
    </x:row>
    <x:row r="66" ht="21" customHeight="1">
      <x:c r="A66" s="4"/>
      <x:c r="B66" s="4"/>
      <x:c r="C66" s="4"/>
      <x:c r="D66" s="4"/>
      <x:c r="E66" s="4"/>
    </x:row>
    <x:row r="67" ht="21" customHeight="1">
      <x:c r="A67" s="4"/>
      <x:c r="B67" s="4"/>
      <x:c r="C67" s="4"/>
      <x:c r="D67" s="4"/>
      <x:c r="E67" s="4"/>
    </x:row>
    <x:row r="68" ht="21" customHeight="1">
      <x:c r="A68" s="4"/>
      <x:c r="B68" s="4"/>
      <x:c r="C68" s="4"/>
      <x:c r="D68" s="4"/>
      <x:c r="E68" s="4"/>
    </x:row>
    <x:row r="69" ht="21" customHeight="1">
      <x:c r="A69" s="4"/>
      <x:c r="B69" s="4"/>
      <x:c r="C69" s="4"/>
      <x:c r="D69" s="4"/>
      <x:c r="E69" s="4"/>
    </x:row>
    <x:row r="70" ht="21" customHeight="1">
      <x:c r="A70" s="4"/>
      <x:c r="B70" s="4"/>
      <x:c r="C70" s="4"/>
      <x:c r="D70" s="4"/>
      <x:c r="E70" s="4"/>
    </x:row>
  </x:sheetData>
  <x:conditionalFormatting sqref="B42:B43">
    <x:cfRule type="cellIs" dxfId="0" priority="1" operator="lessThan">
      <x:formula>0</x:formula>
    </x:cfRule>
  </x:conditionalFormatting>
  <x:conditionalFormatting sqref="B48:B48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19" hidden="0" customWidth="1"/>
    <x:col min="3" max="3" width="22" hidden="0" customWidth="1"/>
    <x:col min="4" max="4" width="37" hidden="0" customWidth="1"/>
    <x:col min="5" max="5" width="3" hidden="0" customWidth="1"/>
  </x:cols>
  <x:sheetData>
    <x:row r="1" ht="21" customHeight="1">
      <x:c r="A1" s="4"/>
      <x:c r="B1" s="4"/>
      <x:c r="C1" s="4"/>
      <x:c r="D1" s="4"/>
      <x:c r="E1" s="4"/>
    </x:row>
    <x:row r="2" ht="21" customHeight="1">
      <x:c r="A2" s="5" t="str">
        <x:v>Scenario inputs</x:v>
      </x:c>
      <x:c r="B2" s="4"/>
      <x:c r="C2" s="4"/>
      <x:c r="D2" s="4"/>
      <x:c r="E2" s="4"/>
    </x:row>
    <x:row r="3" ht="21" customHeight="1">
      <x:c r="A3" s="4"/>
      <x:c r="B3" s="4"/>
      <x:c r="C3" s="4"/>
      <x:c r="D3" s="4"/>
      <x:c r="E3" s="4"/>
    </x:row>
    <x:row r="4" ht="21" customHeight="1">
      <x:c r="A4" s="4" t="str">
        <x:v>Case selected (1–3)</x:v>
      </x:c>
      <x:c r="B4" s="8" t="n">
        <x:v>2</x:v>
      </x:c>
      <x:c r="C4" s="4" t="str">
        <x:f>CHOOSE(B4,"Small pilot","Medium library","Large DJ library")</x:f>
        <x:v>Medium library</x:v>
      </x:c>
      <x:c r="D4" s="4"/>
      <x:c r="E4" s="4"/>
    </x:row>
    <x:row r="5" ht="21" customHeight="1">
      <x:c r="A5" s="4" t="str">
        <x:v>Blue = editable. Active rows feed one model.</x:v>
      </x:c>
      <x:c r="B5" s="4"/>
      <x:c r="C5" s="4"/>
      <x:c r="D5" s="4"/>
      <x:c r="E5" s="4"/>
    </x:row>
    <x:row r="6" ht="21" customHeight="1">
      <x:c r="A6" s="4"/>
      <x:c r="B6" s="4"/>
      <x:c r="C6" s="4"/>
      <x:c r="D6" s="4"/>
      <x:c r="E6" s="4"/>
    </x:row>
    <x:row r="7" ht="21" customHeight="1">
      <x:c r="A7" s="7" t="str">
        <x:v>Paying users — active</x:v>
      </x:c>
      <x:c r="B7" s="7" t="n">
        <x:f>IF(ISNUMBER(CHOOSE($B$4,B8,B9,B10)),CHOOSE($B$4,B8,B9,B10),"n.a.")</x:f>
        <x:v>100</x:v>
      </x:c>
      <x:c r="C7" s="7" t="str">
        <x:v>count</x:v>
      </x:c>
      <x:c r="D7" s="4"/>
      <x:c r="E7" s="4"/>
    </x:row>
    <x:row r="8" ht="21" customHeight="1">
      <x:c r="A8" s="4" t="str">
        <x:v>Small pilot</x:v>
      </x:c>
      <x:c r="B8" s="8" t="n">
        <x:v>10</x:v>
      </x:c>
      <x:c r="C8" s="4"/>
      <x:c r="D8" s="4"/>
      <x:c r="E8" s="4"/>
    </x:row>
    <x:row r="9" ht="21" customHeight="1">
      <x:c r="A9" s="4" t="str">
        <x:v>Medium library</x:v>
      </x:c>
      <x:c r="B9" s="8" t="n">
        <x:v>100</x:v>
      </x:c>
      <x:c r="C9" s="4"/>
      <x:c r="D9" s="4"/>
      <x:c r="E9" s="4"/>
    </x:row>
    <x:row r="10" ht="21" customHeight="1">
      <x:c r="A10" s="4" t="str">
        <x:v>Large DJ library</x:v>
      </x:c>
      <x:c r="B10" s="8" t="n">
        <x:v>100</x:v>
      </x:c>
      <x:c r="C10" s="4"/>
      <x:c r="D10" s="4"/>
      <x:c r="E10" s="4"/>
    </x:row>
    <x:row r="11" ht="21" customHeight="1">
      <x:c r="A11" s="7" t="str">
        <x:v>Original library per user — active</x:v>
      </x:c>
      <x:c r="B11" s="7" t="n">
        <x:f>IF(ISNUMBER(CHOOSE($B$4,B12,B13,B14)),CHOOSE($B$4,B12,B13,B14),"n.a.")</x:f>
        <x:v>100</x:v>
      </x:c>
      <x:c r="C11" s="7" t="str">
        <x:v>decimal GB</x:v>
      </x:c>
      <x:c r="D11" s="4"/>
      <x:c r="E11" s="4"/>
    </x:row>
    <x:row r="12" ht="21" customHeight="1">
      <x:c r="A12" s="4" t="str">
        <x:v>Small pilot</x:v>
      </x:c>
      <x:c r="B12" s="8" t="n">
        <x:v>25</x:v>
      </x:c>
      <x:c r="C12" s="4"/>
      <x:c r="D12" s="4"/>
      <x:c r="E12" s="4"/>
    </x:row>
    <x:row r="13" ht="21" customHeight="1">
      <x:c r="A13" s="4" t="str">
        <x:v>Medium library</x:v>
      </x:c>
      <x:c r="B13" s="8" t="n">
        <x:v>100</x:v>
      </x:c>
      <x:c r="C13" s="4"/>
      <x:c r="D13" s="4"/>
      <x:c r="E13" s="4"/>
    </x:row>
    <x:row r="14" ht="21" customHeight="1">
      <x:c r="A14" s="4" t="str">
        <x:v>Large DJ library</x:v>
      </x:c>
      <x:c r="B14" s="8" t="n">
        <x:v>500</x:v>
      </x:c>
      <x:c r="C14" s="4"/>
      <x:c r="D14" s="4"/>
      <x:c r="E14" s="4"/>
    </x:row>
    <x:row r="15" ht="21" customHeight="1">
      <x:c r="A15" s="7" t="str">
        <x:v>Initial tracks per user — active</x:v>
      </x:c>
      <x:c r="B15" s="7" t="n">
        <x:f>IF(ISNUMBER(CHOOSE($B$4,B16,B17,B18)),CHOOSE($B$4,B16,B17,B18),"n.a.")</x:f>
        <x:v>8000</x:v>
      </x:c>
      <x:c r="C15" s="7" t="str">
        <x:v>count</x:v>
      </x:c>
      <x:c r="D15" s="4"/>
      <x:c r="E15" s="4"/>
    </x:row>
    <x:row r="16" ht="21" customHeight="1">
      <x:c r="A16" s="4" t="str">
        <x:v>Small pilot</x:v>
      </x:c>
      <x:c r="B16" s="8" t="n">
        <x:v>2000</x:v>
      </x:c>
      <x:c r="C16" s="4"/>
      <x:c r="D16" s="4"/>
      <x:c r="E16" s="4"/>
    </x:row>
    <x:row r="17" ht="21" customHeight="1">
      <x:c r="A17" s="4" t="str">
        <x:v>Medium library</x:v>
      </x:c>
      <x:c r="B17" s="8" t="n">
        <x:v>8000</x:v>
      </x:c>
      <x:c r="C17" s="4"/>
      <x:c r="D17" s="4"/>
      <x:c r="E17" s="4"/>
    </x:row>
    <x:row r="18" ht="21" customHeight="1">
      <x:c r="A18" s="4" t="str">
        <x:v>Large DJ library</x:v>
      </x:c>
      <x:c r="B18" s="8" t="n">
        <x:v>40000</x:v>
      </x:c>
      <x:c r="C18" s="4"/>
      <x:c r="D18" s="4"/>
      <x:c r="E18" s="4"/>
    </x:row>
    <x:row r="19" ht="21" customHeight="1">
      <x:c r="A19" s="7" t="str">
        <x:v>Listening per user per month — active</x:v>
      </x:c>
      <x:c r="B19" s="7" t="n">
        <x:f>IF(ISNUMBER(CHOOSE($B$4,B20,B21,B22)),CHOOSE($B$4,B20,B21,B22),"n.a.")</x:f>
        <x:v>50</x:v>
      </x:c>
      <x:c r="C19" s="7" t="str">
        <x:v>hours</x:v>
      </x:c>
      <x:c r="D19" s="4"/>
      <x:c r="E19" s="4"/>
    </x:row>
    <x:row r="20" ht="21" customHeight="1">
      <x:c r="A20" s="4" t="str">
        <x:v>Small pilot</x:v>
      </x:c>
      <x:c r="B20" s="8" t="n">
        <x:v>10</x:v>
      </x:c>
      <x:c r="C20" s="4"/>
      <x:c r="D20" s="4"/>
      <x:c r="E20" s="4"/>
    </x:row>
    <x:row r="21" ht="21" customHeight="1">
      <x:c r="A21" s="4" t="str">
        <x:v>Medium library</x:v>
      </x:c>
      <x:c r="B21" s="8" t="n">
        <x:v>50</x:v>
      </x:c>
      <x:c r="C21" s="4"/>
      <x:c r="D21" s="4"/>
      <x:c r="E21" s="4"/>
    </x:row>
    <x:row r="22" ht="21" customHeight="1">
      <x:c r="A22" s="4" t="str">
        <x:v>Large DJ library</x:v>
      </x:c>
      <x:c r="B22" s="8" t="n">
        <x:v>200</x:v>
      </x:c>
      <x:c r="C22" s="4"/>
      <x:c r="D22" s="4"/>
      <x:c r="E22" s="4"/>
    </x:row>
    <x:row r="23" ht="21" customHeight="1">
      <x:c r="A23" s="7" t="str">
        <x:v>Mixes per user per month — active</x:v>
      </x:c>
      <x:c r="B23" s="7" t="n">
        <x:f>IF(ISNUMBER(CHOOSE($B$4,B24,B25,B26)),CHOOSE($B$4,B24,B25,B26),"n.a.")</x:f>
        <x:v>4</x:v>
      </x:c>
      <x:c r="C23" s="7" t="str">
        <x:v>count</x:v>
      </x:c>
      <x:c r="D23" s="4"/>
      <x:c r="E23" s="4"/>
    </x:row>
    <x:row r="24" ht="21" customHeight="1">
      <x:c r="A24" s="4" t="str">
        <x:v>Small pilot</x:v>
      </x:c>
      <x:c r="B24" s="8" t="n">
        <x:v>2</x:v>
      </x:c>
      <x:c r="C24" s="4"/>
      <x:c r="D24" s="4"/>
      <x:c r="E24" s="4"/>
    </x:row>
    <x:row r="25" ht="21" customHeight="1">
      <x:c r="A25" s="4" t="str">
        <x:v>Medium library</x:v>
      </x:c>
      <x:c r="B25" s="8" t="n">
        <x:v>4</x:v>
      </x:c>
      <x:c r="C25" s="4"/>
      <x:c r="D25" s="4"/>
      <x:c r="E25" s="4"/>
    </x:row>
    <x:row r="26" ht="21" customHeight="1">
      <x:c r="A26" s="4" t="str">
        <x:v>Large DJ library</x:v>
      </x:c>
      <x:c r="B26" s="8" t="n">
        <x:v>20</x:v>
      </x:c>
      <x:c r="C26" s="4"/>
      <x:c r="D26" s="4"/>
      <x:c r="E26" s="4"/>
    </x:row>
    <x:row r="27" ht="21" customHeight="1">
      <x:c r="A27" s="7" t="str">
        <x:v>New tracks per user per month — active</x:v>
      </x:c>
      <x:c r="B27" s="7" t="n">
        <x:f>IF(ISNUMBER(CHOOSE($B$4,B28,B29,B30)),CHOOSE($B$4,B28,B29,B30),"n.a.")</x:f>
        <x:v>100</x:v>
      </x:c>
      <x:c r="C27" s="7" t="str">
        <x:v>count</x:v>
      </x:c>
      <x:c r="D27" s="4"/>
      <x:c r="E27" s="4"/>
    </x:row>
    <x:row r="28" ht="21" customHeight="1">
      <x:c r="A28" s="4" t="str">
        <x:v>Small pilot</x:v>
      </x:c>
      <x:c r="B28" s="8" t="n">
        <x:v>20</x:v>
      </x:c>
      <x:c r="C28" s="4"/>
      <x:c r="D28" s="4"/>
      <x:c r="E28" s="4"/>
    </x:row>
    <x:row r="29" ht="21" customHeight="1">
      <x:c r="A29" s="4" t="str">
        <x:v>Medium library</x:v>
      </x:c>
      <x:c r="B29" s="8" t="n">
        <x:v>100</x:v>
      </x:c>
      <x:c r="C29" s="4"/>
      <x:c r="D29" s="4"/>
      <x:c r="E29" s="4"/>
    </x:row>
    <x:row r="30" ht="21" customHeight="1">
      <x:c r="A30" s="4" t="str">
        <x:v>Large DJ library</x:v>
      </x:c>
      <x:c r="B30" s="8" t="n">
        <x:v>500</x:v>
      </x:c>
      <x:c r="C30" s="4"/>
      <x:c r="D30" s="4"/>
      <x:c r="E30" s="4"/>
    </x:row>
    <x:row r="31" ht="21" customHeight="1">
      <x:c r="A31" s="7" t="str">
        <x:v>Price per user per month — active</x:v>
      </x:c>
      <x:c r="B31" s="7" t="n">
        <x:f>IF(ISNUMBER(CHOOSE($B$4,B32,B33,B34)),CHOOSE($B$4,B32,B33,B34),"n.a.")</x:f>
        <x:v>19</x:v>
      </x:c>
      <x:c r="C31" s="7" t="str">
        <x:v>USD</x:v>
      </x:c>
      <x:c r="D31" s="4"/>
      <x:c r="E31" s="4"/>
    </x:row>
    <x:row r="32" ht="21" customHeight="1">
      <x:c r="A32" s="4" t="str">
        <x:v>Small pilot</x:v>
      </x:c>
      <x:c r="B32" s="8" t="n">
        <x:v>9</x:v>
      </x:c>
      <x:c r="C32" s="4"/>
      <x:c r="D32" s="4"/>
      <x:c r="E32" s="4"/>
    </x:row>
    <x:row r="33" ht="21" customHeight="1">
      <x:c r="A33" s="4" t="str">
        <x:v>Medium library</x:v>
      </x:c>
      <x:c r="B33" s="8" t="n">
        <x:v>19</x:v>
      </x:c>
      <x:c r="C33" s="4"/>
      <x:c r="D33" s="4"/>
      <x:c r="E33" s="4"/>
    </x:row>
    <x:row r="34" ht="21" customHeight="1">
      <x:c r="A34" s="4" t="str">
        <x:v>Large DJ library</x:v>
      </x:c>
      <x:c r="B34" s="8" t="n">
        <x:v>29</x:v>
      </x:c>
      <x:c r="C34" s="4"/>
      <x:c r="D34" s="4"/>
      <x:c r="E34" s="4"/>
    </x:row>
    <x:row r="35" ht="21" customHeight="1">
      <x:c r="A35" s="7" t="str">
        <x:v>Upload connection — active</x:v>
      </x:c>
      <x:c r="B35" s="7" t="n">
        <x:f>IF(ISNUMBER(CHOOSE($B$4,B36,B37,B38)),CHOOSE($B$4,B36,B37,B38),"n.a.")</x:f>
        <x:v>20</x:v>
      </x:c>
      <x:c r="C35" s="7" t="str">
        <x:v>Mbps</x:v>
      </x:c>
      <x:c r="D35" s="4"/>
      <x:c r="E35" s="4"/>
    </x:row>
    <x:row r="36" ht="21" customHeight="1">
      <x:c r="A36" s="4" t="str">
        <x:v>Small pilot</x:v>
      </x:c>
      <x:c r="B36" s="8" t="n">
        <x:v>20</x:v>
      </x:c>
      <x:c r="C36" s="4"/>
      <x:c r="D36" s="4"/>
      <x:c r="E36" s="4"/>
    </x:row>
    <x:row r="37" ht="21" customHeight="1">
      <x:c r="A37" s="4" t="str">
        <x:v>Medium library</x:v>
      </x:c>
      <x:c r="B37" s="8" t="n">
        <x:v>20</x:v>
      </x:c>
      <x:c r="C37" s="4"/>
      <x:c r="D37" s="4"/>
      <x:c r="E37" s="4"/>
    </x:row>
    <x:row r="38" ht="21" customHeight="1">
      <x:c r="A38" s="4" t="str">
        <x:v>Large DJ library</x:v>
      </x:c>
      <x:c r="B38" s="8" t="n">
        <x:v>20</x:v>
      </x:c>
      <x:c r="C38" s="4"/>
      <x:c r="D38" s="4"/>
      <x:c r="E38" s="4"/>
    </x:row>
    <x:row r="39" ht="21" customHeight="1">
      <x:c r="A39" s="4"/>
      <x:c r="B39" s="4"/>
      <x:c r="C39" s="4"/>
      <x:c r="D39" s="4"/>
      <x:c r="E39" s="4"/>
    </x:row>
    <x:row r="40" ht="21" customHeight="1">
      <x:c r="A40" s="11" t="str">
        <x:v>Common driver</x:v>
      </x:c>
      <x:c r="B40" s="11" t="str">
        <x:v>Value</x:v>
      </x:c>
      <x:c r="C40" s="11" t="str">
        <x:v>Unit</x:v>
      </x:c>
      <x:c r="D40" s="11" t="str">
        <x:v>Evidence</x:v>
      </x:c>
      <x:c r="E40" s="4"/>
    </x:row>
    <x:row r="41" ht="21" customHeight="1">
      <x:c r="A41" s="4" t="str">
        <x:v>Derivative / original storage</x:v>
      </x:c>
      <x:c r="B41" s="12" t="n">
        <x:v>0.2</x:v>
      </x:c>
      <x:c r="C41" s="4" t="str">
        <x:v>ratio</x:v>
      </x:c>
      <x:c r="D41" s="4" t="str">
        <x:v>Assumption</x:v>
      </x:c>
      <x:c r="E41" s="4"/>
    </x:row>
    <x:row r="42" ht="21" customHeight="1">
      <x:c r="A42" s="4" t="str">
        <x:v>Backup / original storage</x:v>
      </x:c>
      <x:c r="B42" s="12" t="n">
        <x:v>1</x:v>
      </x:c>
      <x:c r="C42" s="4" t="str">
        <x:v>ratio</x:v>
      </x:c>
      <x:c r="D42" s="4" t="str">
        <x:v>Assumption</x:v>
      </x:c>
      <x:c r="E42" s="4"/>
    </x:row>
    <x:row r="43" ht="21" customHeight="1">
      <x:c r="A43" s="4" t="str">
        <x:v>320kbps audio per hour</x:v>
      </x:c>
      <x:c r="B43" s="12" t="n">
        <x:v>0.144</x:v>
      </x:c>
      <x:c r="C43" s="4" t="str">
        <x:v>GB</x:v>
      </x:c>
      <x:c r="D43" s="4" t="str">
        <x:v>Arithmetic</x:v>
      </x:c>
      <x:c r="E43" s="4"/>
    </x:row>
    <x:row r="44" ht="21" customHeight="1">
      <x:c r="A44" s="4" t="str">
        <x:v>Retained 1-hour compressed mix</x:v>
      </x:c>
      <x:c r="B44" s="12" t="n">
        <x:v>0.144</x:v>
      </x:c>
      <x:c r="C44" s="4" t="str">
        <x:v>GB</x:v>
      </x:c>
      <x:c r="D44" s="4" t="str">
        <x:v>Arithmetic</x:v>
      </x:c>
      <x:c r="E44" s="4"/>
    </x:row>
    <x:row r="45" ht="21" customHeight="1">
      <x:c r="A45" s="4" t="str">
        <x:v>Worker reads / original GB monthly</x:v>
      </x:c>
      <x:c r="B45" s="12" t="n">
        <x:v>0.1</x:v>
      </x:c>
      <x:c r="C45" s="4" t="str">
        <x:v>ratio</x:v>
      </x:c>
      <x:c r="D45" s="4" t="str">
        <x:v>Assumption</x:v>
      </x:c>
      <x:c r="E45" s="4"/>
    </x:row>
    <x:row r="46" ht="21" customHeight="1">
      <x:c r="A46" s="4" t="str">
        <x:v>Original export / original GB monthly</x:v>
      </x:c>
      <x:c r="B46" s="12" t="n">
        <x:v>0.05</x:v>
      </x:c>
      <x:c r="C46" s="4" t="str">
        <x:v>ratio</x:v>
      </x:c>
      <x:c r="D46" s="4" t="str">
        <x:v>Assumption</x:v>
      </x:c>
      <x:c r="E46" s="4"/>
    </x:row>
    <x:row r="47" ht="21" customHeight="1">
      <x:c r="A47" s="4" t="str">
        <x:v>Analysis minutes per track</x:v>
      </x:c>
      <x:c r="B47" s="12" t="n">
        <x:v>5</x:v>
      </x:c>
      <x:c r="C47" s="4" t="str">
        <x:v>minutes</x:v>
      </x:c>
      <x:c r="D47" s="4" t="str">
        <x:v>Unmeasured</x:v>
      </x:c>
      <x:c r="E47" s="4"/>
    </x:row>
    <x:row r="48" ht="21" customHeight="1">
      <x:c r="A48" s="4" t="str">
        <x:v>Worker minutes per 1-hour mix</x:v>
      </x:c>
      <x:c r="B48" s="12" t="n">
        <x:v>30</x:v>
      </x:c>
      <x:c r="C48" s="4" t="str">
        <x:v>minutes</x:v>
      </x:c>
      <x:c r="D48" s="4" t="str">
        <x:v>Unmeasured</x:v>
      </x:c>
      <x:c r="E48" s="4"/>
    </x:row>
    <x:row r="49" ht="21" customHeight="1">
      <x:c r="A49" s="4" t="str">
        <x:v>Worker price per hour</x:v>
      </x:c>
      <x:c r="B49" s="12" t="n">
        <x:v>0.25</x:v>
      </x:c>
      <x:c r="C49" s="4" t="str">
        <x:v>USD/hour</x:v>
      </x:c>
      <x:c r="D49" s="4" t="str">
        <x:v>Unquoted assumption</x:v>
      </x:c>
      <x:c r="E49" s="4"/>
    </x:row>
    <x:row r="50" ht="21" customHeight="1">
      <x:c r="A50" s="4" t="str">
        <x:v>Compute retry multiplier</x:v>
      </x:c>
      <x:c r="B50" s="12" t="n">
        <x:v>1.15</x:v>
      </x:c>
      <x:c r="C50" s="4" t="str">
        <x:v>ratio</x:v>
      </x:c>
      <x:c r="D50" s="4" t="str">
        <x:v>Assumption</x:v>
      </x:c>
      <x:c r="E50" s="4"/>
    </x:row>
    <x:row r="51" ht="21" customHeight="1">
      <x:c r="A51" s="4" t="str">
        <x:v>Worker outbound price</x:v>
      </x:c>
      <x:c r="B51" s="12" t="n">
        <x:v>0.09</x:v>
      </x:c>
      <x:c r="C51" s="4" t="str">
        <x:v>USD/GB</x:v>
      </x:c>
      <x:c r="D51" s="4" t="str">
        <x:v>Unquoted assumption</x:v>
      </x:c>
      <x:c r="E51" s="4"/>
    </x:row>
    <x:row r="52" ht="21" customHeight="1">
      <x:c r="A52" s="4" t="str">
        <x:v>DB/auth/API/queue/logs monthly</x:v>
      </x:c>
      <x:c r="B52" s="12" t="n">
        <x:v>100</x:v>
      </x:c>
      <x:c r="C52" s="4" t="str">
        <x:v>USD</x:v>
      </x:c>
      <x:c r="D52" s="4" t="str">
        <x:v>Unquoted assumption</x:v>
      </x:c>
      <x:c r="E52" s="4"/>
    </x:row>
    <x:row r="53" ht="21" customHeight="1">
      <x:c r="A53" s="4" t="str">
        <x:v>Support minutes per user monthly</x:v>
      </x:c>
      <x:c r="B53" s="12" t="n">
        <x:v>10</x:v>
      </x:c>
      <x:c r="C53" s="4" t="str">
        <x:v>minutes</x:v>
      </x:c>
      <x:c r="D53" s="4" t="str">
        <x:v>Unmeasured</x:v>
      </x:c>
      <x:c r="E53" s="4"/>
    </x:row>
    <x:row r="54" ht="21" customHeight="1">
      <x:c r="A54" s="4" t="str">
        <x:v>Support hourly rate</x:v>
      </x:c>
      <x:c r="B54" s="12" t="n">
        <x:v>20</x:v>
      </x:c>
      <x:c r="C54" s="4" t="str">
        <x:v>USD/hour</x:v>
      </x:c>
      <x:c r="D54" s="4" t="str">
        <x:v>Assumption</x:v>
      </x:c>
      <x:c r="E54" s="4"/>
    </x:row>
    <x:row r="55" ht="21" customHeight="1">
      <x:c r="A55" s="4" t="str">
        <x:v>Translation calls per user monthly</x:v>
      </x:c>
      <x:c r="B55" s="12" t="n">
        <x:v>50</x:v>
      </x:c>
      <x:c r="C55" s="4" t="str">
        <x:v>count</x:v>
      </x:c>
      <x:c r="D55" s="4" t="str">
        <x:v>Assumption</x:v>
      </x:c>
      <x:c r="E55" s="4"/>
    </x:row>
    <x:row r="56" ht="21" customHeight="1">
      <x:c r="A56" s="4" t="str">
        <x:v>Input tokens per call</x:v>
      </x:c>
      <x:c r="B56" s="12" t="n">
        <x:v>2000</x:v>
      </x:c>
      <x:c r="C56" s="4" t="str">
        <x:v>tokens</x:v>
      </x:c>
      <x:c r="D56" s="4" t="str">
        <x:v>Assumption</x:v>
      </x:c>
      <x:c r="E56" s="4"/>
    </x:row>
    <x:row r="57" ht="21" customHeight="1">
      <x:c r="A57" s="4" t="str">
        <x:v>Output tokens per call</x:v>
      </x:c>
      <x:c r="B57" s="12" t="n">
        <x:v>300</x:v>
      </x:c>
      <x:c r="C57" s="4" t="str">
        <x:v>tokens</x:v>
      </x:c>
      <x:c r="D57" s="4" t="str">
        <x:v>Assumption</x:v>
      </x:c>
      <x:c r="E57" s="4"/>
    </x:row>
    <x:row r="58" ht="21" customHeight="1">
      <x:c r="A58" s="4" t="str">
        <x:v>Model input per million tokens</x:v>
      </x:c>
      <x:c r="B58" s="12" t="n">
        <x:v>0.75</x:v>
      </x:c>
      <x:c r="C58" s="4" t="str">
        <x:v>USD</x:v>
      </x:c>
      <x:c r="D58" s="4" t="str">
        <x:v>S045</x:v>
      </x:c>
      <x:c r="E58" s="4"/>
    </x:row>
    <x:row r="59" ht="21" customHeight="1">
      <x:c r="A59" s="4" t="str">
        <x:v>Model output per million tokens</x:v>
      </x:c>
      <x:c r="B59" s="12" t="n">
        <x:v>4.5</x:v>
      </x:c>
      <x:c r="C59" s="4" t="str">
        <x:v>USD</x:v>
      </x:c>
      <x:c r="D59" s="4" t="str">
        <x:v>S045</x:v>
      </x:c>
      <x:c r="E59" s="4"/>
    </x:row>
    <x:row r="60" ht="21" customHeight="1">
      <x:c r="A60" s="4" t="str">
        <x:v>Payment percentage fee</x:v>
      </x:c>
      <x:c r="B60" s="12" t="n">
        <x:v>0.035</x:v>
      </x:c>
      <x:c r="C60" s="4" t="str">
        <x:v>ratio</x:v>
      </x:c>
      <x:c r="D60" s="4" t="str">
        <x:v>Unquoted assumption</x:v>
      </x:c>
      <x:c r="E60" s="4"/>
    </x:row>
    <x:row r="61" ht="21" customHeight="1">
      <x:c r="A61" s="4" t="str">
        <x:v>Payment fixed fee / user-month</x:v>
      </x:c>
      <x:c r="B61" s="12" t="n">
        <x:v>0.3</x:v>
      </x:c>
      <x:c r="C61" s="4" t="str">
        <x:v>USD</x:v>
      </x:c>
      <x:c r="D61" s="4" t="str">
        <x:v>Unquoted assumption</x:v>
      </x:c>
      <x:c r="E61" s="4"/>
    </x:row>
    <x:row r="62" ht="21" customHeight="1">
      <x:c r="A62" s="4" t="str">
        <x:v>Variable cost contingency</x:v>
      </x:c>
      <x:c r="B62" s="12" t="n">
        <x:v>0.2</x:v>
      </x:c>
      <x:c r="C62" s="4" t="str">
        <x:v>ratio</x:v>
      </x:c>
      <x:c r="D62" s="4" t="str">
        <x:v>Assumption</x:v>
      </x:c>
      <x:c r="E62" s="4"/>
    </x:row>
    <x:row r="63" ht="21" customHeight="1">
      <x:c r="A63" s="4" t="str">
        <x:v>Initial analysis amortization</x:v>
      </x:c>
      <x:c r="B63" s="12" t="n">
        <x:v>12</x:v>
      </x:c>
      <x:c r="C63" s="4" t="str">
        <x:v>months</x:v>
      </x:c>
      <x:c r="D63" s="4" t="str">
        <x:v>Unmeasured</x:v>
      </x:c>
      <x:c r="E63" s="4"/>
    </x:row>
    <x:row r="64" ht="21" customHeight="1">
      <x:c r="A64" s="4" t="str">
        <x:v>Acquisition cost per user</x:v>
      </x:c>
      <x:c r="B64" s="12" t="n">
        <x:v>20</x:v>
      </x:c>
      <x:c r="C64" s="4" t="str">
        <x:v>USD</x:v>
      </x:c>
      <x:c r="D64" s="4" t="str">
        <x:v>Unmeasured</x:v>
      </x:c>
      <x:c r="E64" s="4"/>
    </x:row>
    <x:row r="65" ht="21" customHeight="1">
      <x:c r="A65" s="4" t="str">
        <x:v>Useful upload efficiency</x:v>
      </x:c>
      <x:c r="B65" s="12" t="n">
        <x:v>0.7</x:v>
      </x:c>
      <x:c r="C65" s="4" t="str">
        <x:v>ratio</x:v>
      </x:c>
      <x:c r="D65" s="4" t="str">
        <x:v>Assumption</x:v>
      </x:c>
      <x:c r="E65" s="4"/>
    </x:row>
    <x:row r="66" ht="21" customHeight="1">
      <x:c r="A66" s="4" t="str">
        <x:v>R2 monthly writes per user</x:v>
      </x:c>
      <x:c r="B66" s="12" t="n">
        <x:v>500</x:v>
      </x:c>
      <x:c r="C66" s="4" t="str">
        <x:v>count</x:v>
      </x:c>
      <x:c r="D66" s="4" t="str">
        <x:v>Assumption</x:v>
      </x:c>
      <x:c r="E66" s="4"/>
    </x:row>
    <x:row r="67" ht="21" customHeight="1">
      <x:c r="A67" s="4" t="str">
        <x:v>R2 monthly reads per user</x:v>
      </x:c>
      <x:c r="B67" s="12" t="n">
        <x:v>10000</x:v>
      </x:c>
      <x:c r="C67" s="4" t="str">
        <x:v>count</x:v>
      </x:c>
      <x:c r="D67" s="4" t="str">
        <x:v>Assumption</x:v>
      </x:c>
      <x:c r="E67" s="4"/>
    </x:row>
    <x:row r="68" ht="21" customHeight="1">
      <x:c r="A68" s="4" t="str">
        <x:v>Supabase cached fraction</x:v>
      </x:c>
      <x:c r="B68" s="12" t="n">
        <x:v>0.5</x:v>
      </x:c>
      <x:c r="C68" s="4" t="str">
        <x:v>ratio</x:v>
      </x:c>
      <x:c r="D68" s="4" t="str">
        <x:v>Unmeasured</x:v>
      </x:c>
      <x:c r="E68" s="4"/>
    </x:row>
    <x:row r="69" ht="21" customHeight="1">
      <x:c r="A69" s="4" t="str">
        <x:v>R2 GB-month</x:v>
      </x:c>
      <x:c r="B69" s="12" t="n">
        <x:v>0.015</x:v>
      </x:c>
      <x:c r="C69" s="4" t="str">
        <x:v>USD</x:v>
      </x:c>
      <x:c r="D69" s="4" t="str">
        <x:v>S001</x:v>
      </x:c>
      <x:c r="E69" s="4"/>
    </x:row>
    <x:row r="70" ht="21" customHeight="1">
      <x:c r="A70" s="4" t="str">
        <x:v>R2 million Class A</x:v>
      </x:c>
      <x:c r="B70" s="12" t="n">
        <x:v>4.5</x:v>
      </x:c>
      <x:c r="C70" s="4" t="str">
        <x:v>USD</x:v>
      </x:c>
      <x:c r="D70" s="4" t="str">
        <x:v>S001</x:v>
      </x:c>
      <x:c r="E70" s="4"/>
    </x:row>
    <x:row r="71" ht="21" customHeight="1">
      <x:c r="A71" s="4" t="str">
        <x:v>R2 million Class B</x:v>
      </x:c>
      <x:c r="B71" s="12" t="n">
        <x:v>0.36</x:v>
      </x:c>
      <x:c r="C71" s="4" t="str">
        <x:v>USD</x:v>
      </x:c>
      <x:c r="D71" s="4" t="str">
        <x:v>S001</x:v>
      </x:c>
      <x:c r="E71" s="4"/>
    </x:row>
    <x:row r="72" ht="21" customHeight="1">
      <x:c r="A72" s="4" t="str">
        <x:v>B2 GB-month</x:v>
      </x:c>
      <x:c r="B72" s="21" t="n">
        <x:v>0.00695</x:v>
      </x:c>
      <x:c r="C72" s="4" t="str">
        <x:v>USD</x:v>
      </x:c>
      <x:c r="D72" s="4" t="str">
        <x:v>S002</x:v>
      </x:c>
      <x:c r="E72" s="4"/>
    </x:row>
    <x:row r="73" ht="21" customHeight="1">
      <x:c r="A73" s="4" t="str">
        <x:v>B2 egress / average storage</x:v>
      </x:c>
      <x:c r="B73" s="12" t="n">
        <x:v>3</x:v>
      </x:c>
      <x:c r="C73" s="4" t="str">
        <x:v>ratio</x:v>
      </x:c>
      <x:c r="D73" s="4" t="str">
        <x:v>S002</x:v>
      </x:c>
      <x:c r="E73" s="4"/>
    </x:row>
    <x:row r="74" ht="21" customHeight="1">
      <x:c r="A74" s="4" t="str">
        <x:v>B2 excess egress GB</x:v>
      </x:c>
      <x:c r="B74" s="12" t="n">
        <x:v>0.01</x:v>
      </x:c>
      <x:c r="C74" s="4" t="str">
        <x:v>USD</x:v>
      </x:c>
      <x:c r="D74" s="4" t="str">
        <x:v>S002</x:v>
      </x:c>
      <x:c r="E74" s="4"/>
    </x:row>
    <x:row r="75" ht="21" customHeight="1">
      <x:c r="A75" s="4" t="str">
        <x:v>Spaces monthly bundle</x:v>
      </x:c>
      <x:c r="B75" s="12" t="n">
        <x:v>5</x:v>
      </x:c>
      <x:c r="C75" s="4" t="str">
        <x:v>USD</x:v>
      </x:c>
      <x:c r="D75" s="4" t="str">
        <x:v>S009</x:v>
      </x:c>
      <x:c r="E75" s="4"/>
    </x:row>
    <x:row r="76" ht="21" customHeight="1">
      <x:c r="A76" s="4" t="str">
        <x:v>Spaces storage allowance</x:v>
      </x:c>
      <x:c r="B76" s="12" t="n">
        <x:v>250</x:v>
      </x:c>
      <x:c r="C76" s="4" t="str">
        <x:v>GiB</x:v>
      </x:c>
      <x:c r="D76" s="4" t="str">
        <x:v>S009</x:v>
      </x:c>
      <x:c r="E76" s="4"/>
    </x:row>
    <x:row r="77" ht="21" customHeight="1">
      <x:c r="A77" s="4" t="str">
        <x:v>Spaces transfer allowance</x:v>
      </x:c>
      <x:c r="B77" s="12" t="n">
        <x:v>1024</x:v>
      </x:c>
      <x:c r="C77" s="4" t="str">
        <x:v>GiB</x:v>
      </x:c>
      <x:c r="D77" s="4" t="str">
        <x:v>S009</x:v>
      </x:c>
      <x:c r="E77" s="4"/>
    </x:row>
    <x:row r="78" ht="21" customHeight="1">
      <x:c r="A78" s="4" t="str">
        <x:v>Spaces excess storage GiB</x:v>
      </x:c>
      <x:c r="B78" s="12" t="n">
        <x:v>0.02</x:v>
      </x:c>
      <x:c r="C78" s="4" t="str">
        <x:v>USD</x:v>
      </x:c>
      <x:c r="D78" s="4" t="str">
        <x:v>S009</x:v>
      </x:c>
      <x:c r="E78" s="4"/>
    </x:row>
    <x:row r="79" ht="21" customHeight="1">
      <x:c r="A79" s="4" t="str">
        <x:v>Spaces excess transfer GiB</x:v>
      </x:c>
      <x:c r="B79" s="12" t="n">
        <x:v>0.01</x:v>
      </x:c>
      <x:c r="C79" s="4" t="str">
        <x:v>USD</x:v>
      </x:c>
      <x:c r="D79" s="4" t="str">
        <x:v>S009</x:v>
      </x:c>
      <x:c r="E79" s="4"/>
    </x:row>
    <x:row r="80" ht="21" customHeight="1">
      <x:c r="A80" s="4" t="str">
        <x:v>Supabase Pro base</x:v>
      </x:c>
      <x:c r="B80" s="12" t="n">
        <x:v>25</x:v>
      </x:c>
      <x:c r="C80" s="4" t="str">
        <x:v>USD</x:v>
      </x:c>
      <x:c r="D80" s="4" t="str">
        <x:v>S010</x:v>
      </x:c>
      <x:c r="E80" s="4"/>
    </x:row>
    <x:row r="81" ht="21" customHeight="1">
      <x:c r="A81" s="4" t="str">
        <x:v>Supabase storage allowance</x:v>
      </x:c>
      <x:c r="B81" s="12" t="n">
        <x:v>100</x:v>
      </x:c>
      <x:c r="C81" s="4" t="str">
        <x:v>GB</x:v>
      </x:c>
      <x:c r="D81" s="4" t="str">
        <x:v>S010</x:v>
      </x:c>
      <x:c r="E81" s="4"/>
    </x:row>
    <x:row r="82" ht="21" customHeight="1">
      <x:c r="A82" s="4" t="str">
        <x:v>Supabase excess storage GB</x:v>
      </x:c>
      <x:c r="B82" s="12" t="n">
        <x:v>0.0213</x:v>
      </x:c>
      <x:c r="C82" s="4" t="str">
        <x:v>USD</x:v>
      </x:c>
      <x:c r="D82" s="4" t="str">
        <x:v>S010</x:v>
      </x:c>
      <x:c r="E82" s="4"/>
    </x:row>
    <x:row r="83" ht="21" customHeight="1">
      <x:c r="A83" s="4" t="str">
        <x:v>Supabase each egress allowance</x:v>
      </x:c>
      <x:c r="B83" s="12" t="n">
        <x:v>250</x:v>
      </x:c>
      <x:c r="C83" s="4" t="str">
        <x:v>GB</x:v>
      </x:c>
      <x:c r="D83" s="4" t="str">
        <x:v>S011</x:v>
      </x:c>
      <x:c r="E83" s="4"/>
    </x:row>
    <x:row r="84" ht="21" customHeight="1">
      <x:c r="A84" s="4" t="str">
        <x:v>Supabase cached egress GB</x:v>
      </x:c>
      <x:c r="B84" s="12" t="n">
        <x:v>0.03</x:v>
      </x:c>
      <x:c r="C84" s="4" t="str">
        <x:v>USD</x:v>
      </x:c>
      <x:c r="D84" s="4" t="str">
        <x:v>S011</x:v>
      </x:c>
      <x:c r="E84" s="4"/>
    </x:row>
    <x:row r="85" ht="21" customHeight="1">
      <x:c r="A85" s="4" t="str">
        <x:v>Supabase uncached egress GB</x:v>
      </x:c>
      <x:c r="B85" s="12" t="n">
        <x:v>0.09</x:v>
      </x:c>
      <x:c r="C85" s="4" t="str">
        <x:v>USD</x:v>
      </x:c>
      <x:c r="D85" s="4" t="str">
        <x:v>S011</x:v>
      </x:c>
      <x:c r="E85" s="4"/>
    </x:row>
    <x:row r="86" ht="21" customHeight="1">
      <x:c r="A86" s="4" t="str">
        <x:v>Wasabi retained TiB-month</x:v>
      </x:c>
      <x:c r="B86" s="12" t="n">
        <x:v>7.99</x:v>
      </x:c>
      <x:c r="C86" s="4" t="str">
        <x:v>USD</x:v>
      </x:c>
      <x:c r="D86" s="4" t="str">
        <x:v>S004</x:v>
      </x:c>
      <x:c r="E86" s="4"/>
    </x:row>
    <x:row r="87" ht="21" customHeight="1">
      <x:c r="A87" s="4" t="str">
        <x:v>Retained 48kHz/24-bit mix master</x:v>
      </x:c>
      <x:c r="B87" s="12" t="n">
        <x:v>1.0368</x:v>
      </x:c>
      <x:c r="C87" s="4" t="str">
        <x:v>GB/hour</x:v>
      </x:c>
      <x:c r="D87" s="4" t="str">
        <x:v>Arithmetic assumption</x:v>
      </x:c>
      <x:c r="E87" s="4"/>
    </x:row>
    <x:row r="88" ht="21" customHeight="1">
      <x:c r="A88" s="4"/>
      <x:c r="B88" s="4"/>
      <x:c r="C88" s="4"/>
      <x:c r="D88" s="4"/>
      <x:c r="E88" s="4"/>
    </x:row>
    <x:row r="89" ht="21" customHeight="1">
      <x:c r="A89" s="4"/>
      <x:c r="B89" s="4"/>
      <x:c r="C89" s="4"/>
      <x:c r="D89" s="4"/>
      <x:c r="E89" s="4"/>
    </x:row>
    <x:row r="90" ht="21" customHeight="1">
      <x:c r="A90" s="4"/>
      <x:c r="B90" s="4"/>
      <x:c r="C90" s="4"/>
      <x:c r="D90" s="4"/>
      <x:c r="E90" s="4"/>
    </x:row>
    <x:row r="91" ht="21" customHeight="1">
      <x:c r="A91" s="4"/>
      <x:c r="B91" s="4"/>
      <x:c r="C91" s="4"/>
      <x:c r="D91" s="4"/>
      <x:c r="E91" s="4"/>
    </x:row>
    <x:row r="92" ht="21" customHeight="1">
      <x:c r="A92" s="4"/>
      <x:c r="B92" s="4"/>
      <x:c r="C92" s="4"/>
      <x:c r="D92" s="4"/>
      <x:c r="E92" s="4"/>
    </x:row>
    <x:row r="93" ht="21" customHeight="1">
      <x:c r="A93" s="4"/>
      <x:c r="B93" s="4"/>
      <x:c r="C93" s="4"/>
      <x:c r="D93" s="4"/>
      <x:c r="E93" s="4"/>
    </x:row>
    <x:row r="94" ht="21" customHeight="1">
      <x:c r="A94" s="4"/>
      <x:c r="B94" s="4"/>
      <x:c r="C94" s="4"/>
      <x:c r="D94" s="4"/>
      <x:c r="E94" s="4"/>
    </x:row>
    <x:row r="95" ht="21" customHeight="1">
      <x:c r="A95" s="4"/>
      <x:c r="B95" s="4"/>
      <x:c r="C95" s="4"/>
      <x:c r="D95" s="4"/>
      <x:c r="E95" s="4"/>
    </x:row>
    <x:row r="96" ht="21" customHeight="1">
      <x:c r="A96" s="4"/>
      <x:c r="B96" s="4"/>
      <x:c r="C96" s="4"/>
      <x:c r="D96" s="4"/>
      <x:c r="E96" s="4"/>
    </x:row>
  </x:sheetData>
  <x:dataValidations count="1">
    <x:dataValidation type="whole" operator="between" sqref="B4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90" hidden="0" customWidth="1"/>
    <x:col min="4" max="4" width="37" hidden="0" customWidth="1"/>
    <x:col min="5" max="5" width="3" hidden="0" customWidth="1"/>
  </x:cols>
  <x:sheetData>
    <x:row r="1" ht="21" customHeight="1">
      <x:c r="A1" s="4"/>
      <x:c r="B1" s="4"/>
      <x:c r="C1" s="4"/>
      <x:c r="D1" s="4"/>
      <x:c r="E1" s="4"/>
    </x:row>
    <x:row r="2" ht="21" customHeight="1">
      <x:c r="A2" s="5" t="str">
        <x:v>Sources</x:v>
      </x:c>
      <x:c r="B2" s="4"/>
      <x:c r="C2" s="4"/>
      <x:c r="D2" s="4"/>
      <x:c r="E2" s="4"/>
    </x:row>
    <x:row r="3" ht="21" customHeight="1">
      <x:c r="A3" s="4"/>
      <x:c r="B3" s="4"/>
      <x:c r="C3" s="4"/>
      <x:c r="D3" s="4"/>
      <x:c r="E3" s="4"/>
    </x:row>
    <x:row r="4" ht="21" customHeight="1">
      <x:c r="A4" s="11" t="str">
        <x:v>ID</x:v>
      </x:c>
      <x:c r="B4" s="11" t="str">
        <x:v>Publisher / source</x:v>
      </x:c>
      <x:c r="C4" s="11" t="str">
        <x:v>Original URL</x:v>
      </x:c>
      <x:c r="D4" s="4"/>
      <x:c r="E4" s="4"/>
    </x:row>
    <x:row r="5" ht="40" customHeight="1">
      <x:c r="A5" s="4" t="str">
        <x:v>S001</x:v>
      </x:c>
      <x:c r="B5" s="20" t="str">
        <x:v>Cloudflare — R2 pricing</x:v>
      </x:c>
      <x:c r="C5" s="20" t="str">
        <x:v>https://developers.cloudflare.com/r2/pricing/</x:v>
      </x:c>
      <x:c r="D5" s="4"/>
      <x:c r="E5" s="4"/>
    </x:row>
    <x:row r="6" ht="40" customHeight="1">
      <x:c r="A6" s="4" t="str">
        <x:v>S002</x:v>
      </x:c>
      <x:c r="B6" s="20" t="str">
        <x:v>Backblaze — B2 Cloud Storage pricing</x:v>
      </x:c>
      <x:c r="C6" s="20" t="str">
        <x:v>https://www.backblaze.com/cloud-storage/pricing</x:v>
      </x:c>
      <x:c r="D6" s="4"/>
      <x:c r="E6" s="4"/>
    </x:row>
    <x:row r="7" ht="40" customHeight="1">
      <x:c r="A7" s="4" t="str">
        <x:v>S004</x:v>
      </x:c>
      <x:c r="B7" s="20" t="str">
        <x:v>Wasabi — Monthly minimum storage charge</x:v>
      </x:c>
      <x:c r="C7" s="20" t="str">
        <x:v>https://docs.wasabi.com/docs/how-does-wasabis-monthly-minimum-storage-charge-work</x:v>
      </x:c>
      <x:c r="D7" s="4"/>
      <x:c r="E7" s="4"/>
    </x:row>
    <x:row r="8" ht="40" customHeight="1">
      <x:c r="A8" s="4" t="str">
        <x:v>S007</x:v>
      </x:c>
      <x:c r="B8" s="20" t="str">
        <x:v>Amazon Web Services — Amazon S3 pricing</x:v>
      </x:c>
      <x:c r="C8" s="20" t="str">
        <x:v>https://aws.amazon.com/s3/pricing/</x:v>
      </x:c>
      <x:c r="D8" s="4"/>
      <x:c r="E8" s="4"/>
    </x:row>
    <x:row r="9" ht="40" customHeight="1">
      <x:c r="A9" s="4" t="str">
        <x:v>S009</x:v>
      </x:c>
      <x:c r="B9" s="20" t="str">
        <x:v>DigitalOcean — Spaces object storage pricing</x:v>
      </x:c>
      <x:c r="C9" s="20" t="str">
        <x:v>https://www.digitalocean.com/pricing/spaces-object-storage</x:v>
      </x:c>
      <x:c r="D9" s="4"/>
      <x:c r="E9" s="4"/>
    </x:row>
    <x:row r="10" ht="40" customHeight="1">
      <x:c r="A10" s="4" t="str">
        <x:v>S010</x:v>
      </x:c>
      <x:c r="B10" s="20" t="str">
        <x:v>Supabase — Pricing</x:v>
      </x:c>
      <x:c r="C10" s="20" t="str">
        <x:v>https://supabase.com/pricing</x:v>
      </x:c>
      <x:c r="D10" s="4"/>
      <x:c r="E10" s="4"/>
    </x:row>
    <x:row r="11" ht="40" customHeight="1">
      <x:c r="A11" s="4" t="str">
        <x:v>S011</x:v>
      </x:c>
      <x:c r="B11" s="20" t="str">
        <x:v>Supabase — Manage egress usage</x:v>
      </x:c>
      <x:c r="C11" s="20" t="str">
        <x:v>https://supabase.com/docs/guides/platform/manage-your-usage/egress</x:v>
      </x:c>
      <x:c r="D11" s="4"/>
      <x:c r="E11" s="4"/>
    </x:row>
    <x:row r="12" ht="40" customHeight="1">
      <x:c r="A12" s="4" t="str">
        <x:v>S045</x:v>
      </x:c>
      <x:c r="B12" s="20" t="str">
        <x:v>OpenAI — GPT-5.4 mini model</x:v>
      </x:c>
      <x:c r="C12" s="20" t="str">
        <x:v>https://developers.openai.com/api/docs/models/gpt-5.4-mini</x:v>
      </x:c>
      <x:c r="D12" s="4"/>
      <x:c r="E12" s="4"/>
    </x:row>
    <x:row r="13" ht="21" customHeight="1">
      <x:c r="A13" s="4"/>
      <x:c r="B13" s="4"/>
      <x:c r="C13" s="4"/>
      <x:c r="D13" s="4"/>
      <x:c r="E13" s="4"/>
    </x:row>
    <x:row r="14" ht="21" customHeight="1">
      <x:c r="A14" s="4"/>
      <x:c r="B14" s="4"/>
      <x:c r="C14" s="4"/>
      <x:c r="D14" s="4"/>
      <x:c r="E14" s="4"/>
    </x:row>
    <x:row r="15" ht="21" customHeight="1">
      <x:c r="A15" s="4"/>
      <x:c r="B15" s="4" t="str">
        <x:v>Accessed 2026-09-08. Recheck before procurement.</x:v>
      </x:c>
      <x:c r="C15" s="4"/>
      <x:c r="D15" s="4"/>
      <x:c r="E15" s="4"/>
    </x:row>
    <x:row r="16" ht="21" customHeight="1">
      <x:c r="A16" s="4"/>
      <x:c r="B16" s="4"/>
      <x:c r="C16" s="4"/>
      <x:c r="D16" s="4"/>
      <x:c r="E16" s="4"/>
    </x:row>
    <x:row r="17" ht="21" customHeight="1">
      <x:c r="A17" s="4"/>
      <x:c r="B17" s="4" t="str">
        <x:v>Assumptions are not observed usage or price quotes.</x:v>
      </x:c>
      <x:c r="C17" s="4"/>
      <x:c r="D17" s="4"/>
      <x:c r="E17" s="4"/>
    </x:row>
    <x:row r="18" ht="21" customHeight="1">
      <x:c r="A18" s="4"/>
      <x:c r="B18" s="4"/>
      <x:c r="C18" s="4"/>
      <x:c r="D18" s="4"/>
      <x:c r="E18" s="4"/>
    </x:row>
    <x:row r="19" ht="21" customHeight="1">
      <x:c r="A19" s="4"/>
      <x:c r="B19" s="4" t="str">
        <x:v>Full source inventory is in SOURCES.md and sources.json.</x:v>
      </x:c>
      <x:c r="C19" s="4"/>
      <x:c r="D19" s="4"/>
      <x:c r="E19" s="4"/>
    </x:row>
    <x:row r="20" ht="21" customHeight="1">
      <x:c r="A20" s="4"/>
      <x:c r="B20" s="4"/>
      <x:c r="C20" s="4"/>
      <x:c r="D20" s="4"/>
      <x:c r="E20" s="4"/>
    </x:row>
    <x:row r="21" ht="21" customHeight="1">
      <x:c r="A21" s="4"/>
      <x:c r="B21" s="4"/>
      <x:c r="C21" s="4"/>
      <x:c r="D21" s="4"/>
      <x:c r="E21" s="4"/>
    </x:row>
    <x:row r="22" ht="21" customHeight="1">
      <x:c r="A22" s="4"/>
      <x:c r="B22" s="4"/>
      <x:c r="C22" s="4"/>
      <x:c r="D22" s="4"/>
      <x:c r="E22" s="4"/>
    </x:row>
    <x:row r="23" ht="21" customHeight="1">
      <x:c r="A23" s="4"/>
      <x:c r="B23" s="4"/>
      <x:c r="C23" s="4"/>
      <x:c r="D23" s="4"/>
      <x:c r="E23" s="4"/>
    </x:row>
    <x:row r="24" ht="21" customHeight="1">
      <x:c r="A24" s="4"/>
      <x:c r="B24" s="4"/>
      <x:c r="C24" s="4"/>
      <x:c r="D24" s="4"/>
      <x:c r="E24" s="4"/>
    </x:row>
    <x:row r="25" ht="21" customHeight="1">
      <x:c r="A25" s="4"/>
      <x:c r="B25" s="4"/>
      <x:c r="C25" s="4"/>
      <x:c r="D25" s="4"/>
      <x:c r="E25" s="4"/>
    </x:row>
    <x:row r="26" ht="21" customHeight="1">
      <x:c r="A26" s="4"/>
      <x:c r="B26" s="4"/>
      <x:c r="C26" s="4"/>
      <x:c r="D26" s="4"/>
      <x:c r="E26" s="4"/>
    </x:row>
    <x:row r="27" ht="21" customHeight="1">
      <x:c r="A27" s="4"/>
      <x:c r="B27" s="4"/>
      <x:c r="C27" s="4"/>
      <x:c r="D27" s="4"/>
      <x:c r="E27" s="4"/>
    </x:row>
    <x:row r="28" ht="21" customHeight="1">
      <x:c r="A28" s="4"/>
      <x:c r="B28" s="4"/>
      <x:c r="C28" s="4"/>
      <x:c r="D28" s="4"/>
      <x:c r="E28" s="4"/>
    </x:row>
    <x:row r="29" ht="21" customHeight="1">
      <x:c r="A29" s="4"/>
      <x:c r="B29" s="4"/>
      <x:c r="C29" s="4"/>
      <x:c r="D29" s="4"/>
      <x:c r="E29" s="4"/>
    </x:row>
    <x:row r="30" ht="21" customHeight="1">
      <x:c r="A30" s="4"/>
      <x:c r="B30" s="4"/>
      <x:c r="C30" s="4"/>
      <x:c r="D30" s="4"/>
      <x:c r="E30" s="4"/>
    </x:row>
  </x:sheetData>
  <x:pageMargins left="0.7" right="0.7" top="0.75" bottom="0.75" header="0.3" footer="0.3"/>
</x:worksheet>
</file>